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lt's Metho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Konstanta pemulusan level (alpha). Semakin besar, semakin responsif terhadap data terbaru.</t>
        </r>
      </text>
    </comment>
    <comment ref="B6" authorId="0">
      <text>
        <r>
          <rPr>
            <sz val="10"/>
            <rFont val="Arial"/>
            <family val="2"/>
          </rPr>
          <t xml:space="preserve">Konstanta pemulusan trend (beta). Semakin besar, semakin responsif terhadap perubahan trend.</t>
        </r>
      </text>
    </comment>
  </commentList>
</comments>
</file>

<file path=xl/sharedStrings.xml><?xml version="1.0" encoding="utf-8"?>
<sst xmlns="http://schemas.openxmlformats.org/spreadsheetml/2006/main" count="36" uniqueCount="32">
  <si>
    <t xml:space="preserve">Holt's Method (Double Exponential Smoothing) Template</t>
  </si>
  <si>
    <t xml:space="preserve">Isi kolom Period &amp; Actual (Y) berwarna biru. Ubah Alpha &amp; Beta pada sel kuning.</t>
  </si>
  <si>
    <t xml:space="preserve">Parameter</t>
  </si>
  <si>
    <t xml:space="preserve">Alpha (level, 0-1)</t>
  </si>
  <si>
    <t xml:space="preserve">Inisialisasi</t>
  </si>
  <si>
    <t xml:space="preserve">Beta (trend, 0-1)</t>
  </si>
  <si>
    <t xml:space="preserve">L(1) = Y(1)</t>
  </si>
  <si>
    <t xml:space="preserve">Jumlah periode forecast ke depan</t>
  </si>
  <si>
    <t xml:space="preserve">T(1) = Y(2) - Y(1)</t>
  </si>
  <si>
    <t xml:space="preserve">Period</t>
  </si>
  <si>
    <t xml:space="preserve">Actual (Y)</t>
  </si>
  <si>
    <t xml:space="preserve">Level (L)</t>
  </si>
  <si>
    <t xml:space="preserve">Trend (T)</t>
  </si>
  <si>
    <t xml:space="preserve">Forecast (F)</t>
  </si>
  <si>
    <t xml:space="preserve">Error (Y-F)</t>
  </si>
  <si>
    <t xml:space="preserve">Abs Error</t>
  </si>
  <si>
    <t xml:space="preserve">Squared Error</t>
  </si>
  <si>
    <t xml:space="preserve">% Error (APE)</t>
  </si>
  <si>
    <t xml:space="preserve">-</t>
  </si>
  <si>
    <t xml:space="preserve">Forecast ke depan</t>
  </si>
  <si>
    <t xml:space="preserve">Ukuran Akurasi (in-sample)</t>
  </si>
  <si>
    <t xml:space="preserve">MAE</t>
  </si>
  <si>
    <t xml:space="preserve">MSE</t>
  </si>
  <si>
    <t xml:space="preserve">RMSE</t>
  </si>
  <si>
    <t xml:space="preserve">MAPE</t>
  </si>
  <si>
    <t xml:space="preserve">Catatan:</t>
  </si>
  <si>
    <t xml:space="preserve">- Sel kuning (Alpha, Beta, Jumlah periode forecast) adalah input yang bisa diubah pengguna.</t>
  </si>
  <si>
    <t xml:space="preserve">- Kolom Period &amp; Actual (Y) berwarna biru: ganti dengan data Anda sendiri (baris bisa ditambah).</t>
  </si>
  <si>
    <t xml:space="preserve">- Level (L) &amp; Trend (T) dihitung otomatis dengan formula Holt's Method.</t>
  </si>
  <si>
    <t xml:space="preserve">- Forecast (F) pada baris data adalah forecast satu langkah ke depan (in-sample).</t>
  </si>
  <si>
    <t xml:space="preserve">- Baris 'Forecast ke depan' menghitung forecast h-langkah ke depan: F(n+h) = L(n) + h*T(n).</t>
  </si>
  <si>
    <t xml:space="preserve">- Data contoh (12 periode) hanya ilustrasi — silakan timpa dengan data riil Anda.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</si>
</sst>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"/>
    <numFmt numFmtId="167" formatCode="#,##0.00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E2EFDA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Actual vs Level vs Forecast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'Holt''s Method'!B10</c:f>
              <c:strCache>
                <c:ptCount val="1"/>
                <c:pt idx="0">
                  <c:v>Actual (Y)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'Holt''s Method'!$A$11:$A$35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Forecast ke depan</c:v>
                </c:pt>
                <c:pt idx="13">
                  <c:v>h=1</c:v>
                </c:pt>
                <c:pt idx="14">
                  <c:v>h=2</c:v>
                </c:pt>
                <c:pt idx="15">
                  <c:v>h=3</c:v>
                </c:pt>
                <c:pt idx="16">
                  <c:v>h=4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'Holt''s Method'!$B$11:$B$22</c:f>
              <c:numCache>
                <c:formatCode>#,##0.00</c:formatCode>
                <c:ptCount val="12"/>
                <c:pt idx="0">
                  <c:v>112</c:v>
                </c:pt>
                <c:pt idx="1">
                  <c:v>118</c:v>
                </c:pt>
                <c:pt idx="2">
                  <c:v>132</c:v>
                </c:pt>
                <c:pt idx="3">
                  <c:v>129</c:v>
                </c:pt>
                <c:pt idx="4">
                  <c:v>121</c:v>
                </c:pt>
                <c:pt idx="5">
                  <c:v>135</c:v>
                </c:pt>
                <c:pt idx="6">
                  <c:v>148</c:v>
                </c:pt>
                <c:pt idx="7">
                  <c:v>148</c:v>
                </c:pt>
                <c:pt idx="8">
                  <c:v>136</c:v>
                </c:pt>
                <c:pt idx="9">
                  <c:v>119</c:v>
                </c:pt>
                <c:pt idx="10">
                  <c:v>104</c:v>
                </c:pt>
                <c:pt idx="11">
                  <c:v>118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'Holt''s Method'!C10</c:f>
              <c:strCache>
                <c:ptCount val="1"/>
                <c:pt idx="0">
                  <c:v>Level (L)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'Holt''s Method'!$A$11:$A$35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Forecast ke depan</c:v>
                </c:pt>
                <c:pt idx="13">
                  <c:v>h=1</c:v>
                </c:pt>
                <c:pt idx="14">
                  <c:v>h=2</c:v>
                </c:pt>
                <c:pt idx="15">
                  <c:v>h=3</c:v>
                </c:pt>
                <c:pt idx="16">
                  <c:v>h=4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'Holt''s Method'!$C$11:$C$22</c:f>
              <c:numCache>
                <c:formatCode>#,##0.00</c:formatCode>
                <c:ptCount val="12"/>
                <c:pt idx="0">
                  <c:v>112</c:v>
                </c:pt>
                <c:pt idx="1">
                  <c:v>118</c:v>
                </c:pt>
                <c:pt idx="2">
                  <c:v>126.4</c:v>
                </c:pt>
                <c:pt idx="3">
                  <c:v>131.716</c:v>
                </c:pt>
                <c:pt idx="4">
                  <c:v>132.87424</c:v>
                </c:pt>
                <c:pt idx="5">
                  <c:v>137.1725536</c:v>
                </c:pt>
                <c:pt idx="6">
                  <c:v>143.951019904</c:v>
                </c:pt>
                <c:pt idx="7">
                  <c:v>148.93888512256</c:v>
                </c:pt>
                <c:pt idx="8">
                  <c:v>148.774057668198</c:v>
                </c:pt>
                <c:pt idx="9">
                  <c:v>142.792234990053</c:v>
                </c:pt>
                <c:pt idx="10">
                  <c:v>132.677425015949</c:v>
                </c:pt>
                <c:pt idx="11">
                  <c:v>128.076412533118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'Holt''s Method'!E10</c:f>
              <c:strCache>
                <c:ptCount val="1"/>
                <c:pt idx="0">
                  <c:v>Forecast (F)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'Holt''s Method'!$A$11:$A$35</c:f>
              <c:strCach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Forecast ke depan</c:v>
                </c:pt>
                <c:pt idx="13">
                  <c:v>h=1</c:v>
                </c:pt>
                <c:pt idx="14">
                  <c:v>h=2</c:v>
                </c:pt>
                <c:pt idx="15">
                  <c:v>h=3</c:v>
                </c:pt>
                <c:pt idx="16">
                  <c:v>h=4</c:v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</c:strCache>
            </c:strRef>
          </c:cat>
          <c:val>
            <c:numRef>
              <c:f>'Holt''s Method'!$E$11:$E$35</c:f>
              <c:numCache>
                <c:formatCode>#,##0.00</c:formatCode>
                <c:ptCount val="25"/>
                <c:pt idx="1">
                  <c:v>118</c:v>
                </c:pt>
                <c:pt idx="2">
                  <c:v>124</c:v>
                </c:pt>
                <c:pt idx="3">
                  <c:v>132.88</c:v>
                </c:pt>
                <c:pt idx="4">
                  <c:v>137.9632</c:v>
                </c:pt>
                <c:pt idx="5">
                  <c:v>138.103648</c:v>
                </c:pt>
                <c:pt idx="6">
                  <c:v>142.21574272</c:v>
                </c:pt>
                <c:pt idx="7">
                  <c:v>149.3412644608</c:v>
                </c:pt>
                <c:pt idx="8">
                  <c:v>154.248653811712</c:v>
                </c:pt>
                <c:pt idx="9">
                  <c:v>152.988907128648</c:v>
                </c:pt>
                <c:pt idx="10">
                  <c:v>144.967750022784</c:v>
                </c:pt>
                <c:pt idx="11">
                  <c:v>132.394875047312</c:v>
                </c:pt>
                <c:pt idx="13">
                  <c:v>126.930170061643</c:v>
                </c:pt>
                <c:pt idx="14">
                  <c:v>125.783927590168</c:v>
                </c:pt>
                <c:pt idx="15">
                  <c:v>124.637685118692</c:v>
                </c:pt>
                <c:pt idx="16">
                  <c:v>123.491442647217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540140"/>
        <c:axId val="51680177"/>
      </c:lineChart>
      <c:catAx>
        <c:axId val="935401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Period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680177"/>
        <c:crosses val="autoZero"/>
        <c:auto val="1"/>
        <c:lblAlgn val="ctr"/>
        <c:lblOffset val="100"/>
        <c:noMultiLvlLbl val="0"/>
      </c:catAx>
      <c:valAx>
        <c:axId val="516801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Nilai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401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8</xdr:row>
      <xdr:rowOff>131040</xdr:rowOff>
    </xdr:from>
    <xdr:to>
      <xdr:col>21</xdr:col>
      <xdr:colOff>473040</xdr:colOff>
      <xdr:row>27</xdr:row>
      <xdr:rowOff>111240</xdr:rowOff>
    </xdr:to>
    <xdr:graphicFrame>
      <xdr:nvGraphicFramePr>
        <xdr:cNvPr id="0" name="Chart 1"/>
        <xdr:cNvGraphicFramePr/>
      </xdr:nvGraphicFramePr>
      <xdr:xfrm>
        <a:off x="8223840" y="1714680"/>
        <a:ext cx="719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0.3</v>
      </c>
      <c r="D5" s="4" t="s">
        <v>4</v>
      </c>
    </row>
    <row r="6" customFormat="false" ht="15" hidden="false" customHeight="false" outlineLevel="0" collapsed="false">
      <c r="A6" s="4" t="s">
        <v>5</v>
      </c>
      <c r="B6" s="5" t="n">
        <v>0.2</v>
      </c>
      <c r="D6" s="6" t="s">
        <v>6</v>
      </c>
    </row>
    <row r="7" customFormat="false" ht="15" hidden="false" customHeight="false" outlineLevel="0" collapsed="false">
      <c r="A7" s="4" t="s">
        <v>7</v>
      </c>
      <c r="B7" s="7" t="n">
        <v>4</v>
      </c>
      <c r="D7" s="6" t="s">
        <v>8</v>
      </c>
    </row>
    <row r="10" customFormat="false" ht="15" hidden="false" customHeight="false" outlineLevel="0" collapsed="false">
      <c r="A10" s="8" t="s">
        <v>9</v>
      </c>
      <c r="B10" s="8" t="s">
        <v>10</v>
      </c>
      <c r="C10" s="8" t="s">
        <v>11</v>
      </c>
      <c r="D10" s="8" t="s">
        <v>12</v>
      </c>
      <c r="E10" s="8" t="s">
        <v>13</v>
      </c>
      <c r="F10" s="8" t="s">
        <v>14</v>
      </c>
      <c r="G10" s="8" t="s">
        <v>15</v>
      </c>
      <c r="H10" s="8" t="s">
        <v>16</v>
      </c>
      <c r="I10" s="8" t="s">
        <v>17</v>
      </c>
    </row>
    <row r="11" customFormat="false" ht="15" hidden="false" customHeight="false" outlineLevel="0" collapsed="false">
      <c r="A11" s="9" t="n">
        <v>1</v>
      </c>
      <c r="B11" s="10" t="n">
        <v>112</v>
      </c>
      <c r="C11" s="11" t="n">
        <f aca="false">B11</f>
        <v>112</v>
      </c>
      <c r="D11" s="11" t="n">
        <f aca="false">B12-B11</f>
        <v>6</v>
      </c>
      <c r="E11" s="12" t="s">
        <v>18</v>
      </c>
      <c r="F11" s="12" t="s">
        <v>18</v>
      </c>
      <c r="G11" s="12" t="s">
        <v>18</v>
      </c>
      <c r="H11" s="12" t="s">
        <v>18</v>
      </c>
      <c r="I11" s="12" t="s">
        <v>18</v>
      </c>
    </row>
    <row r="12" customFormat="false" ht="15" hidden="false" customHeight="false" outlineLevel="0" collapsed="false">
      <c r="A12" s="9" t="n">
        <v>2</v>
      </c>
      <c r="B12" s="10" t="n">
        <v>118</v>
      </c>
      <c r="C12" s="11" t="n">
        <f aca="false">$B$5*B12+(1-$B$5)*(C11+D11)</f>
        <v>118</v>
      </c>
      <c r="D12" s="11" t="n">
        <f aca="false">$B$6*(C12-C11)+(1-$B$6)*D11</f>
        <v>6</v>
      </c>
      <c r="E12" s="11" t="n">
        <f aca="false">C11+D11</f>
        <v>118</v>
      </c>
      <c r="F12" s="11" t="n">
        <f aca="false">B12-E12</f>
        <v>0</v>
      </c>
      <c r="G12" s="11" t="n">
        <f aca="false">ABS(F12)</f>
        <v>0</v>
      </c>
      <c r="H12" s="11" t="n">
        <f aca="false">F12^2</f>
        <v>0</v>
      </c>
      <c r="I12" s="13" t="n">
        <f aca="false">IFERROR(ABS(F12)/B12,"-")</f>
        <v>0</v>
      </c>
    </row>
    <row r="13" customFormat="false" ht="15" hidden="false" customHeight="false" outlineLevel="0" collapsed="false">
      <c r="A13" s="9" t="n">
        <v>3</v>
      </c>
      <c r="B13" s="10" t="n">
        <v>132</v>
      </c>
      <c r="C13" s="11" t="n">
        <f aca="false">$B$5*B13+(1-$B$5)*(C12+D12)</f>
        <v>126.4</v>
      </c>
      <c r="D13" s="11" t="n">
        <f aca="false">$B$6*(C13-C12)+(1-$B$6)*D12</f>
        <v>6.48</v>
      </c>
      <c r="E13" s="11" t="n">
        <f aca="false">C12+D12</f>
        <v>124</v>
      </c>
      <c r="F13" s="11" t="n">
        <f aca="false">B13-E13</f>
        <v>8</v>
      </c>
      <c r="G13" s="11" t="n">
        <f aca="false">ABS(F13)</f>
        <v>8</v>
      </c>
      <c r="H13" s="11" t="n">
        <f aca="false">F13^2</f>
        <v>64</v>
      </c>
      <c r="I13" s="13" t="n">
        <f aca="false">IFERROR(ABS(F13)/B13,"-")</f>
        <v>0.0606060606060606</v>
      </c>
    </row>
    <row r="14" customFormat="false" ht="15" hidden="false" customHeight="false" outlineLevel="0" collapsed="false">
      <c r="A14" s="9" t="n">
        <v>4</v>
      </c>
      <c r="B14" s="10" t="n">
        <v>129</v>
      </c>
      <c r="C14" s="11" t="n">
        <f aca="false">$B$5*B14+(1-$B$5)*(C13+D13)</f>
        <v>131.716</v>
      </c>
      <c r="D14" s="11" t="n">
        <f aca="false">$B$6*(C14-C13)+(1-$B$6)*D13</f>
        <v>6.2472</v>
      </c>
      <c r="E14" s="11" t="n">
        <f aca="false">C13+D13</f>
        <v>132.88</v>
      </c>
      <c r="F14" s="11" t="n">
        <f aca="false">B14-E14</f>
        <v>-3.88</v>
      </c>
      <c r="G14" s="11" t="n">
        <f aca="false">ABS(F14)</f>
        <v>3.88</v>
      </c>
      <c r="H14" s="11" t="n">
        <f aca="false">F14^2</f>
        <v>15.0544</v>
      </c>
      <c r="I14" s="13" t="n">
        <f aca="false">IFERROR(ABS(F14)/B14,"-")</f>
        <v>0.0300775193798449</v>
      </c>
    </row>
    <row r="15" customFormat="false" ht="15" hidden="false" customHeight="false" outlineLevel="0" collapsed="false">
      <c r="A15" s="9" t="n">
        <v>5</v>
      </c>
      <c r="B15" s="10" t="n">
        <v>121</v>
      </c>
      <c r="C15" s="11" t="n">
        <f aca="false">$B$5*B15+(1-$B$5)*(C14+D14)</f>
        <v>132.87424</v>
      </c>
      <c r="D15" s="11" t="n">
        <f aca="false">$B$6*(C15-C14)+(1-$B$6)*D14</f>
        <v>5.229408</v>
      </c>
      <c r="E15" s="11" t="n">
        <f aca="false">C14+D14</f>
        <v>137.9632</v>
      </c>
      <c r="F15" s="11" t="n">
        <f aca="false">B15-E15</f>
        <v>-16.9632</v>
      </c>
      <c r="G15" s="11" t="n">
        <f aca="false">ABS(F15)</f>
        <v>16.9632</v>
      </c>
      <c r="H15" s="11" t="n">
        <f aca="false">F15^2</f>
        <v>287.750154239999</v>
      </c>
      <c r="I15" s="13" t="n">
        <f aca="false">IFERROR(ABS(F15)/B15,"-")</f>
        <v>0.14019173553719</v>
      </c>
    </row>
    <row r="16" customFormat="false" ht="15" hidden="false" customHeight="false" outlineLevel="0" collapsed="false">
      <c r="A16" s="9" t="n">
        <v>6</v>
      </c>
      <c r="B16" s="10" t="n">
        <v>135</v>
      </c>
      <c r="C16" s="11" t="n">
        <f aca="false">$B$5*B16+(1-$B$5)*(C15+D15)</f>
        <v>137.1725536</v>
      </c>
      <c r="D16" s="11" t="n">
        <f aca="false">$B$6*(C16-C15)+(1-$B$6)*D15</f>
        <v>5.04318912</v>
      </c>
      <c r="E16" s="11" t="n">
        <f aca="false">C15+D15</f>
        <v>138.103648</v>
      </c>
      <c r="F16" s="11" t="n">
        <f aca="false">B16-E16</f>
        <v>-3.10364799999999</v>
      </c>
      <c r="G16" s="11" t="n">
        <f aca="false">ABS(F16)</f>
        <v>3.10364799999999</v>
      </c>
      <c r="H16" s="11" t="n">
        <f aca="false">F16^2</f>
        <v>9.63263090790395</v>
      </c>
      <c r="I16" s="13" t="n">
        <f aca="false">IFERROR(ABS(F16)/B16,"-")</f>
        <v>0.0229899851851851</v>
      </c>
    </row>
    <row r="17" customFormat="false" ht="15" hidden="false" customHeight="false" outlineLevel="0" collapsed="false">
      <c r="A17" s="9" t="n">
        <v>7</v>
      </c>
      <c r="B17" s="10" t="n">
        <v>148</v>
      </c>
      <c r="C17" s="11" t="n">
        <f aca="false">$B$5*B17+(1-$B$5)*(C16+D16)</f>
        <v>143.951019904</v>
      </c>
      <c r="D17" s="11" t="n">
        <f aca="false">$B$6*(C17-C16)+(1-$B$6)*D16</f>
        <v>5.3902445568</v>
      </c>
      <c r="E17" s="11" t="n">
        <f aca="false">C16+D16</f>
        <v>142.21574272</v>
      </c>
      <c r="F17" s="11" t="n">
        <f aca="false">B17-E17</f>
        <v>5.78425728000002</v>
      </c>
      <c r="G17" s="11" t="n">
        <f aca="false">ABS(F17)</f>
        <v>5.78425728000002</v>
      </c>
      <c r="H17" s="11" t="n">
        <f aca="false">F17^2</f>
        <v>33.4576322812332</v>
      </c>
      <c r="I17" s="13" t="n">
        <f aca="false">IFERROR(ABS(F17)/B17,"-")</f>
        <v>0.0390828194594596</v>
      </c>
    </row>
    <row r="18" customFormat="false" ht="15" hidden="false" customHeight="false" outlineLevel="0" collapsed="false">
      <c r="A18" s="9" t="n">
        <v>8</v>
      </c>
      <c r="B18" s="10" t="n">
        <v>148</v>
      </c>
      <c r="C18" s="11" t="n">
        <f aca="false">$B$5*B18+(1-$B$5)*(C17+D17)</f>
        <v>148.93888512256</v>
      </c>
      <c r="D18" s="11" t="n">
        <f aca="false">$B$6*(C18-C17)+(1-$B$6)*D17</f>
        <v>5.30976868915201</v>
      </c>
      <c r="E18" s="11" t="n">
        <f aca="false">C17+D17</f>
        <v>149.3412644608</v>
      </c>
      <c r="F18" s="11" t="n">
        <f aca="false">B18-E18</f>
        <v>-1.34126446080001</v>
      </c>
      <c r="G18" s="11" t="n">
        <f aca="false">ABS(F18)</f>
        <v>1.34126446080001</v>
      </c>
      <c r="H18" s="11" t="n">
        <f aca="false">F18^2</f>
        <v>1.79899035380513</v>
      </c>
      <c r="I18" s="13" t="n">
        <f aca="false">IFERROR(ABS(F18)/B18,"-")</f>
        <v>0.00906259770810814</v>
      </c>
    </row>
    <row r="19" customFormat="false" ht="15" hidden="false" customHeight="false" outlineLevel="0" collapsed="false">
      <c r="A19" s="9" t="n">
        <v>9</v>
      </c>
      <c r="B19" s="10" t="n">
        <v>136</v>
      </c>
      <c r="C19" s="11" t="n">
        <f aca="false">$B$5*B19+(1-$B$5)*(C18+D18)</f>
        <v>148.774057668198</v>
      </c>
      <c r="D19" s="11" t="n">
        <f aca="false">$B$6*(C19-C18)+(1-$B$6)*D18</f>
        <v>4.21484946044928</v>
      </c>
      <c r="E19" s="11" t="n">
        <f aca="false">C18+D18</f>
        <v>154.248653811712</v>
      </c>
      <c r="F19" s="11" t="n">
        <f aca="false">B19-E19</f>
        <v>-18.248653811712</v>
      </c>
      <c r="G19" s="11" t="n">
        <f aca="false">ABS(F19)</f>
        <v>18.248653811712</v>
      </c>
      <c r="H19" s="11" t="n">
        <f aca="false">F19^2</f>
        <v>333.013365939712</v>
      </c>
      <c r="I19" s="13" t="n">
        <f aca="false">IFERROR(ABS(F19)/B19,"-")</f>
        <v>0.134181278027294</v>
      </c>
    </row>
    <row r="20" customFormat="false" ht="15" hidden="false" customHeight="false" outlineLevel="0" collapsed="false">
      <c r="A20" s="9" t="n">
        <v>10</v>
      </c>
      <c r="B20" s="10" t="n">
        <v>119</v>
      </c>
      <c r="C20" s="11" t="n">
        <f aca="false">$B$5*B20+(1-$B$5)*(C19+D19)</f>
        <v>142.792234990053</v>
      </c>
      <c r="D20" s="11" t="n">
        <f aca="false">$B$6*(C20-C19)+(1-$B$6)*D19</f>
        <v>2.17551503273041</v>
      </c>
      <c r="E20" s="11" t="n">
        <f aca="false">C19+D19</f>
        <v>152.988907128648</v>
      </c>
      <c r="F20" s="11" t="n">
        <f aca="false">B20-E20</f>
        <v>-33.9889071286477</v>
      </c>
      <c r="G20" s="11" t="n">
        <f aca="false">ABS(F20)</f>
        <v>33.9889071286477</v>
      </c>
      <c r="H20" s="11" t="n">
        <f aca="false">F20^2</f>
        <v>1155.24580779984</v>
      </c>
      <c r="I20" s="13" t="n">
        <f aca="false">IFERROR(ABS(F20)/B20,"-")</f>
        <v>0.285621068307964</v>
      </c>
    </row>
    <row r="21" customFormat="false" ht="15" hidden="false" customHeight="false" outlineLevel="0" collapsed="false">
      <c r="A21" s="9" t="n">
        <v>11</v>
      </c>
      <c r="B21" s="10" t="n">
        <v>104</v>
      </c>
      <c r="C21" s="11" t="n">
        <f aca="false">$B$5*B21+(1-$B$5)*(C20+D20)</f>
        <v>132.677425015949</v>
      </c>
      <c r="D21" s="11" t="n">
        <f aca="false">$B$6*(C21-C20)+(1-$B$6)*D20</f>
        <v>-0.282549968636614</v>
      </c>
      <c r="E21" s="11" t="n">
        <f aca="false">C20+D20</f>
        <v>144.967750022784</v>
      </c>
      <c r="F21" s="11" t="n">
        <f aca="false">B21-E21</f>
        <v>-40.9677500227838</v>
      </c>
      <c r="G21" s="11" t="n">
        <f aca="false">ABS(F21)</f>
        <v>40.9677500227838</v>
      </c>
      <c r="H21" s="11" t="n">
        <f aca="false">F21^2</f>
        <v>1678.3565419293</v>
      </c>
      <c r="I21" s="13" t="n">
        <f aca="false">IFERROR(ABS(F21)/B21,"-")</f>
        <v>0.393920673295998</v>
      </c>
    </row>
    <row r="22" customFormat="false" ht="15" hidden="false" customHeight="false" outlineLevel="0" collapsed="false">
      <c r="A22" s="9" t="n">
        <v>12</v>
      </c>
      <c r="B22" s="10" t="n">
        <v>118</v>
      </c>
      <c r="C22" s="11" t="n">
        <f aca="false">$B$5*B22+(1-$B$5)*(C21+D21)</f>
        <v>128.076412533118</v>
      </c>
      <c r="D22" s="11" t="n">
        <f aca="false">$B$6*(C22-C21)+(1-$B$6)*D21</f>
        <v>-1.14624247147533</v>
      </c>
      <c r="E22" s="11" t="n">
        <f aca="false">C21+D21</f>
        <v>132.394875047312</v>
      </c>
      <c r="F22" s="11" t="n">
        <f aca="false">B22-E22</f>
        <v>-14.394875047312</v>
      </c>
      <c r="G22" s="11" t="n">
        <f aca="false">ABS(F22)</f>
        <v>14.394875047312</v>
      </c>
      <c r="H22" s="11" t="n">
        <f aca="false">F22^2</f>
        <v>207.212427627726</v>
      </c>
      <c r="I22" s="13" t="n">
        <f aca="false">IFERROR(ABS(F22)/B22,"-")</f>
        <v>0.121990466502644</v>
      </c>
    </row>
    <row r="23" customFormat="false" ht="15" hidden="false" customHeight="false" outlineLevel="0" collapsed="false">
      <c r="A23" s="3" t="s">
        <v>19</v>
      </c>
      <c r="B23" s="3"/>
      <c r="C23" s="3"/>
      <c r="D23" s="3"/>
      <c r="E23" s="3"/>
      <c r="F23" s="3"/>
      <c r="G23" s="3"/>
      <c r="H23" s="3"/>
      <c r="I23" s="3"/>
    </row>
    <row r="24" customFormat="false" ht="15" hidden="false" customHeight="false" outlineLevel="0" collapsed="false">
      <c r="A24" s="12" t="str">
        <f aca="false">IF(1&lt;=$B$7,"h="&amp;1,"")</f>
        <v>h=1</v>
      </c>
      <c r="B24" s="12"/>
      <c r="C24" s="12"/>
      <c r="D24" s="12"/>
      <c r="E24" s="14" t="n">
        <f aca="false">IF(1&lt;=$B$7,$C$22+1*$D$22,"")</f>
        <v>126.930170061643</v>
      </c>
      <c r="F24" s="12"/>
      <c r="G24" s="12"/>
      <c r="H24" s="12"/>
      <c r="I24" s="12"/>
    </row>
    <row r="25" customFormat="false" ht="15" hidden="false" customHeight="false" outlineLevel="0" collapsed="false">
      <c r="A25" s="12" t="str">
        <f aca="false">IF(2&lt;=$B$7,"h="&amp;2,"")</f>
        <v>h=2</v>
      </c>
      <c r="B25" s="12"/>
      <c r="C25" s="12"/>
      <c r="D25" s="12"/>
      <c r="E25" s="14" t="n">
        <f aca="false">IF(2&lt;=$B$7,$C$22+2*$D$22,"")</f>
        <v>125.783927590168</v>
      </c>
      <c r="F25" s="12"/>
      <c r="G25" s="12"/>
      <c r="H25" s="12"/>
      <c r="I25" s="12"/>
    </row>
    <row r="26" customFormat="false" ht="15" hidden="false" customHeight="false" outlineLevel="0" collapsed="false">
      <c r="A26" s="12" t="str">
        <f aca="false">IF(3&lt;=$B$7,"h="&amp;3,"")</f>
        <v>h=3</v>
      </c>
      <c r="B26" s="12"/>
      <c r="C26" s="12"/>
      <c r="D26" s="12"/>
      <c r="E26" s="14" t="n">
        <f aca="false">IF(3&lt;=$B$7,$C$22+3*$D$22,"")</f>
        <v>124.637685118692</v>
      </c>
      <c r="F26" s="12"/>
      <c r="G26" s="12"/>
      <c r="H26" s="12"/>
      <c r="I26" s="12"/>
    </row>
    <row r="27" customFormat="false" ht="15" hidden="false" customHeight="false" outlineLevel="0" collapsed="false">
      <c r="A27" s="12" t="str">
        <f aca="false">IF(4&lt;=$B$7,"h="&amp;4,"")</f>
        <v>h=4</v>
      </c>
      <c r="B27" s="12"/>
      <c r="C27" s="12"/>
      <c r="D27" s="12"/>
      <c r="E27" s="14" t="n">
        <f aca="false">IF(4&lt;=$B$7,$C$22+4*$D$22,"")</f>
        <v>123.491442647217</v>
      </c>
      <c r="F27" s="12"/>
      <c r="G27" s="12"/>
      <c r="H27" s="12"/>
      <c r="I27" s="12"/>
    </row>
    <row r="28" customFormat="false" ht="15" hidden="false" customHeight="false" outlineLevel="0" collapsed="false">
      <c r="A28" s="12" t="str">
        <f aca="false">IF(5&lt;=$B$7,"h="&amp;5,"")</f>
        <v/>
      </c>
      <c r="B28" s="12"/>
      <c r="C28" s="12"/>
      <c r="D28" s="12"/>
      <c r="E28" s="14" t="str">
        <f aca="false">IF(5&lt;=$B$7,$C$22+5*$D$22,"")</f>
        <v/>
      </c>
      <c r="F28" s="12"/>
      <c r="G28" s="12"/>
      <c r="H28" s="12"/>
      <c r="I28" s="12"/>
    </row>
    <row r="29" customFormat="false" ht="15" hidden="false" customHeight="false" outlineLevel="0" collapsed="false">
      <c r="A29" s="12" t="str">
        <f aca="false">IF(6&lt;=$B$7,"h="&amp;6,"")</f>
        <v/>
      </c>
      <c r="B29" s="12"/>
      <c r="C29" s="12"/>
      <c r="D29" s="12"/>
      <c r="E29" s="14" t="str">
        <f aca="false">IF(6&lt;=$B$7,$C$22+6*$D$22,"")</f>
        <v/>
      </c>
      <c r="F29" s="12"/>
      <c r="G29" s="12"/>
      <c r="H29" s="12"/>
      <c r="I29" s="12"/>
    </row>
    <row r="30" customFormat="false" ht="15" hidden="false" customHeight="false" outlineLevel="0" collapsed="false">
      <c r="A30" s="12" t="str">
        <f aca="false">IF(7&lt;=$B$7,"h="&amp;7,"")</f>
        <v/>
      </c>
      <c r="B30" s="12"/>
      <c r="C30" s="12"/>
      <c r="D30" s="12"/>
      <c r="E30" s="14" t="str">
        <f aca="false">IF(7&lt;=$B$7,$C$22+7*$D$22,"")</f>
        <v/>
      </c>
      <c r="F30" s="12"/>
      <c r="G30" s="12"/>
      <c r="H30" s="12"/>
      <c r="I30" s="12"/>
    </row>
    <row r="31" customFormat="false" ht="15" hidden="false" customHeight="false" outlineLevel="0" collapsed="false">
      <c r="A31" s="12" t="str">
        <f aca="false">IF(8&lt;=$B$7,"h="&amp;8,"")</f>
        <v/>
      </c>
      <c r="B31" s="12"/>
      <c r="C31" s="12"/>
      <c r="D31" s="12"/>
      <c r="E31" s="14" t="str">
        <f aca="false">IF(8&lt;=$B$7,$C$22+8*$D$22,"")</f>
        <v/>
      </c>
      <c r="F31" s="12"/>
      <c r="G31" s="12"/>
      <c r="H31" s="12"/>
      <c r="I31" s="12"/>
    </row>
    <row r="32" customFormat="false" ht="15" hidden="false" customHeight="false" outlineLevel="0" collapsed="false">
      <c r="A32" s="12" t="str">
        <f aca="false">IF(9&lt;=$B$7,"h="&amp;9,"")</f>
        <v/>
      </c>
      <c r="B32" s="12"/>
      <c r="C32" s="12"/>
      <c r="D32" s="12"/>
      <c r="E32" s="14" t="str">
        <f aca="false">IF(9&lt;=$B$7,$C$22+9*$D$22,"")</f>
        <v/>
      </c>
      <c r="F32" s="12"/>
      <c r="G32" s="12"/>
      <c r="H32" s="12"/>
      <c r="I32" s="12"/>
    </row>
    <row r="33" customFormat="false" ht="15" hidden="false" customHeight="false" outlineLevel="0" collapsed="false">
      <c r="A33" s="12" t="str">
        <f aca="false">IF(10&lt;=$B$7,"h="&amp;10,"")</f>
        <v/>
      </c>
      <c r="B33" s="12"/>
      <c r="C33" s="12"/>
      <c r="D33" s="12"/>
      <c r="E33" s="14" t="str">
        <f aca="false">IF(10&lt;=$B$7,$C$22+10*$D$22,"")</f>
        <v/>
      </c>
      <c r="F33" s="12"/>
      <c r="G33" s="12"/>
      <c r="H33" s="12"/>
      <c r="I33" s="12"/>
    </row>
    <row r="34" customFormat="false" ht="15" hidden="false" customHeight="false" outlineLevel="0" collapsed="false">
      <c r="A34" s="12" t="str">
        <f aca="false">IF(11&lt;=$B$7,"h="&amp;11,"")</f>
        <v/>
      </c>
      <c r="B34" s="12"/>
      <c r="C34" s="12"/>
      <c r="D34" s="12"/>
      <c r="E34" s="14" t="str">
        <f aca="false">IF(11&lt;=$B$7,$C$22+11*$D$22,"")</f>
        <v/>
      </c>
      <c r="F34" s="12"/>
      <c r="G34" s="12"/>
      <c r="H34" s="12"/>
      <c r="I34" s="12"/>
    </row>
    <row r="35" customFormat="false" ht="15" hidden="false" customHeight="false" outlineLevel="0" collapsed="false">
      <c r="A35" s="12" t="str">
        <f aca="false">IF(12&lt;=$B$7,"h="&amp;12,"")</f>
        <v/>
      </c>
      <c r="B35" s="12"/>
      <c r="C35" s="12"/>
      <c r="D35" s="12"/>
      <c r="E35" s="14" t="str">
        <f aca="false">IF(12&lt;=$B$7,$C$22+12*$D$22,"")</f>
        <v/>
      </c>
      <c r="F35" s="12"/>
      <c r="G35" s="12"/>
      <c r="H35" s="12"/>
      <c r="I35" s="12"/>
    </row>
    <row r="37" customFormat="false" ht="15" hidden="false" customHeight="false" outlineLevel="0" collapsed="false">
      <c r="A37" s="3" t="s">
        <v>20</v>
      </c>
      <c r="B37" s="3"/>
    </row>
    <row r="38" customFormat="false" ht="15" hidden="false" customHeight="false" outlineLevel="0" collapsed="false">
      <c r="A38" s="4" t="s">
        <v>21</v>
      </c>
      <c r="B38" s="11" t="n">
        <f aca="false">AVERAGE(G12:G22)</f>
        <v>13.3338687046596</v>
      </c>
    </row>
    <row r="39" customFormat="false" ht="15" hidden="false" customHeight="false" outlineLevel="0" collapsed="false">
      <c r="A39" s="4" t="s">
        <v>22</v>
      </c>
      <c r="B39" s="11" t="n">
        <f aca="false">AVERAGE(H12:H22)</f>
        <v>344.138359189047</v>
      </c>
    </row>
    <row r="40" customFormat="false" ht="15" hidden="false" customHeight="false" outlineLevel="0" collapsed="false">
      <c r="A40" s="4" t="s">
        <v>23</v>
      </c>
      <c r="B40" s="11" t="n">
        <f aca="false">SQRT(B39)</f>
        <v>18.5509665297808</v>
      </c>
    </row>
    <row r="41" customFormat="false" ht="15" hidden="false" customHeight="false" outlineLevel="0" collapsed="false">
      <c r="A41" s="4" t="s">
        <v>24</v>
      </c>
      <c r="B41" s="13" t="n">
        <f aca="false">AVERAGE(I12:I22)</f>
        <v>0.112520382182704</v>
      </c>
    </row>
    <row r="43" customFormat="false" ht="15" hidden="false" customHeight="false" outlineLevel="0" collapsed="false">
      <c r="A43" s="15" t="s">
        <v>25</v>
      </c>
    </row>
    <row r="44" customFormat="false" ht="15" hidden="false" customHeight="false" outlineLevel="0" collapsed="false">
      <c r="A44" s="6" t="s">
        <v>26</v>
      </c>
    </row>
    <row r="45" customFormat="false" ht="15" hidden="false" customHeight="false" outlineLevel="0" collapsed="false">
      <c r="A45" s="6" t="s">
        <v>27</v>
      </c>
    </row>
    <row r="46" customFormat="false" ht="15" hidden="false" customHeight="false" outlineLevel="0" collapsed="false">
      <c r="A46" s="6" t="s">
        <v>28</v>
      </c>
    </row>
    <row r="47" customFormat="false" ht="15" hidden="false" customHeight="false" outlineLevel="0" collapsed="false">
      <c r="A47" s="6" t="s">
        <v>29</v>
      </c>
    </row>
    <row r="48" customFormat="false" ht="15" hidden="false" customHeight="false" outlineLevel="0" collapsed="false">
      <c r="A48" s="6" t="s">
        <v>30</v>
      </c>
    </row>
    <row r="49" customFormat="false" ht="15" hidden="false" customHeight="false" outlineLevel="0" collapsed="false">
      <c r="A49" s="6" t="s">
        <v>31</v>
      </c>
    </row>
  </sheetData>
  <mergeCells count="5">
    <mergeCell ref="A1:I1"/>
    <mergeCell ref="A2:I2"/>
    <mergeCell ref="A4:B4"/>
    <mergeCell ref="A23:I23"/>
    <mergeCell ref="A37:B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2026-08-25T13:10:49Z</dcterms:created>
  <dc:creator>openpyxl</dc:creator>
  <dc:description/>
  <dc:language>en-US</dc:language>
  <cp:lastModifiedBy/>
  <dcterms:modified xsi:type="dcterms:W3CDTF">2026-08-25T13:10:55Z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